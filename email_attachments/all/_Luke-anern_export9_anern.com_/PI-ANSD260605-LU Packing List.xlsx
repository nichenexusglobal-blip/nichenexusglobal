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装柜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<sst xmlns="http://schemas.openxmlformats.org/spreadsheetml/2006/main" count="40" uniqueCount="32">
  <si>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Guangzhou Anern Energy Technology Co., Ltd.</t>
  </si>
  <si>
    <t>Packing List-ANSD260605-LU</t>
  </si>
  <si>
    <t>Part Name</t>
  </si>
  <si>
    <t>Goods Description</t>
  </si>
  <si>
    <t>Packing list（cm）</t>
  </si>
  <si>
    <t>CBM</t>
  </si>
  <si>
    <t>Quantity/PCS</t>
  </si>
  <si>
    <t>CTN/PCS</t>
  </si>
  <si>
    <t>Total CTN</t>
  </si>
  <si>
    <t>NW/CTN</t>
  </si>
  <si>
    <t>GW/CTN</t>
  </si>
  <si>
    <t>Total NW（KG）</t>
  </si>
  <si>
    <t>Total GW
(KG)</t>
  </si>
  <si>
    <t>L/CM</t>
  </si>
  <si>
    <t>W/CM</t>
  </si>
  <si>
    <t>H/CM</t>
  </si>
  <si>
    <t>m3</t>
  </si>
  <si>
    <t>AN-MPSG-N500</t>
  </si>
  <si>
    <t>500W 600WH</t>
  </si>
  <si>
    <t>AN-MPSG-E1200</t>
  </si>
  <si>
    <t>1200W 1280WH</t>
  </si>
  <si>
    <t>AN-MPSG-E2000</t>
  </si>
  <si>
    <t>2000W 2560WH</t>
  </si>
  <si>
    <t>TOTAL</t>
  </si>
  <si>
    <t>Terms and Conditions:</t>
  </si>
  <si>
    <r>
      <t xml:space="preserve">Price Term: </t>
    </r>
    <r>
      <rPr>
        <sz val="10"/>
        <color rgb="FF000000"/>
        <rFont val="Arial"/>
        <charset val="1"/>
      </rPr>
      <t>FOB shenzhen/guangzhou</t>
    </r>
  </si>
  <si>
    <r>
      <t xml:space="preserve">Payment Term: </t>
    </r>
    <r>
      <rPr>
        <sz val="10"/>
        <color rgb="FF000000"/>
        <rFont val="Arial"/>
        <charset val="1"/>
      </rPr>
      <t>30%T/T deposit, 70%T/T balance before shipment</t>
    </r>
  </si>
  <si>
    <r>
      <rPr>
        <b/>
        <sz val="10"/>
        <color rgb="FF000000"/>
        <rFont val="Arial"/>
        <charset val="1"/>
      </rPr>
      <t xml:space="preserve">Package: </t>
    </r>
    <r>
      <rPr>
        <sz val="10"/>
        <color rgb="FF000000"/>
        <rFont val="Arial"/>
        <charset val="1"/>
      </rPr>
      <t>Export standard package suitable for tough handling and long-distant air/sea voyage.</t>
    </r>
  </si>
  <si>
    <t>Confirm with signature;</t>
  </si>
  <si>
    <t>The Seller: Luke Chan</t>
  </si>
  <si>
    <t/>
  </si>
  <si>
    <t>Date:2026-6-9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</si>
</sst>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\$#,##0.00;\-\$#,##0.00"/>
  </numFmts>
  <fonts count="36">
    <font>
      <sz val="11"/>
      <color theme="1"/>
      <name val="宋体"/>
      <charset val="134"/>
      <scheme val="minor"/>
    </font>
    <font>
      <b/>
      <sz val="10"/>
      <name val="Arial"/>
      <charset val="0"/>
    </font>
    <font>
      <b/>
      <sz val="9"/>
      <name val="Arial"/>
      <charset val="0"/>
    </font>
    <font>
      <b/>
      <sz val="18"/>
      <name val="Arial"/>
      <charset val="134"/>
    </font>
    <font>
      <b/>
      <sz val="18"/>
      <name val="Arial"/>
      <charset val="0"/>
    </font>
    <font>
      <sz val="14"/>
      <name val="Arial"/>
      <charset val="134"/>
    </font>
    <font>
      <sz val="14"/>
      <name val="Arial"/>
      <charset val="0"/>
    </font>
    <font>
      <sz val="10"/>
      <name val="Arial"/>
      <charset val="134"/>
    </font>
    <font>
      <sz val="10"/>
      <name val="Arial"/>
      <charset val="0"/>
    </font>
    <font>
      <sz val="11"/>
      <name val="Arial"/>
      <charset val="0"/>
    </font>
    <font>
      <b/>
      <sz val="10"/>
      <color rgb="FF000000"/>
      <name val="Arial"/>
      <charset val="1"/>
    </font>
    <font>
      <sz val="9"/>
      <name val="Arial"/>
      <charset val="134"/>
    </font>
    <font>
      <sz val="10"/>
      <color indexed="8"/>
      <name val="微软雅黑"/>
      <charset val="134"/>
    </font>
    <font>
      <b/>
      <sz val="10"/>
      <color rgb="FFFF0000"/>
      <name val="Arial"/>
      <charset val="0"/>
    </font>
    <font>
      <sz val="11"/>
      <color theme="1"/>
      <name val="Calibri"/>
      <charset val="134"/>
    </font>
    <font>
      <sz val="10"/>
      <color rgb="FF00000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0" fillId="0" borderId="0"/>
    <xf numFmtId="0" fontId="14" fillId="0" borderId="0"/>
  </cellStyleXfs>
  <cellXfs count="3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10" fillId="0" borderId="0" xfId="49" applyFont="1" applyFill="1" applyAlignment="1">
      <alignment horizontal="left" vertical="center" wrapText="1"/>
    </xf>
    <xf numFmtId="178" fontId="10" fillId="0" borderId="0" xfId="49" applyNumberFormat="1" applyFont="1" applyFill="1" applyAlignment="1">
      <alignment horizontal="left" vertical="center" wrapText="1"/>
    </xf>
    <xf numFmtId="0" fontId="10" fillId="0" borderId="0" xfId="49" applyFont="1" applyFill="1" applyAlignment="1">
      <alignment horizontal="center" vertical="center" wrapText="1"/>
    </xf>
    <xf numFmtId="178" fontId="10" fillId="0" borderId="0" xfId="49" applyNumberFormat="1" applyFont="1" applyFill="1" applyAlignment="1">
      <alignment horizontal="center" vertical="center" wrapText="1"/>
    </xf>
    <xf numFmtId="0" fontId="14" fillId="0" borderId="5" xfId="49" applyFont="1" applyFill="1" applyBorder="1" applyAlignment="1"/>
    <xf numFmtId="0" fontId="15" fillId="0" borderId="5" xfId="49" applyFont="1" applyFill="1" applyBorder="1" applyAlignment="1">
      <alignment horizontal="center" vertical="center" wrapText="1"/>
    </xf>
    <xf numFmtId="0" fontId="15" fillId="0" borderId="0" xfId="49" applyFont="1" applyFill="1" applyAlignment="1">
      <alignment horizontal="center" vertical="center" wrapText="1"/>
    </xf>
    <xf numFmtId="178" fontId="15" fillId="0" borderId="5" xfId="49" applyNumberFormat="1" applyFont="1" applyFill="1" applyBorder="1" applyAlignment="1">
      <alignment horizontal="center" vertical="center" wrapText="1"/>
    </xf>
    <xf numFmtId="0" fontId="15" fillId="0" borderId="0" xfId="49" applyFont="1" applyFill="1" applyAlignment="1">
      <alignment horizontal="left" vertical="center" wrapText="1"/>
    </xf>
    <xf numFmtId="178" fontId="15" fillId="0" borderId="0" xfId="49" applyNumberFormat="1" applyFont="1" applyFill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0" xfId="50"/>
    <cellStyle name="常规 101 4 4" xfId="51"/>
    <cellStyle name="Normal 2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S14" sqref="S14"/>
    </sheetView>
  </sheetViews>
  <sheetFormatPr defaultColWidth="9" defaultRowHeight="12"/>
  <cols>
    <col min="1" max="1" width="20.625" style="2" customWidth="1"/>
    <col min="2" max="2" width="16.25" style="2" customWidth="1"/>
    <col min="3" max="4" width="7.875" style="2" customWidth="1"/>
    <col min="5" max="7" width="9.875" style="2" customWidth="1"/>
    <col min="8" max="8" width="12.125" style="2" customWidth="1"/>
    <col min="9" max="9" width="11.25" style="2" customWidth="1"/>
    <col min="10" max="10" width="8.75" style="2" customWidth="1"/>
    <col min="11" max="11" width="7.875" style="2" customWidth="1"/>
    <col min="12" max="12" width="7.5" style="2" customWidth="1"/>
    <col min="13" max="13" width="12.5" style="2" customWidth="1"/>
    <col min="14" max="16384" width="9" style="2"/>
  </cols>
  <sheetData>
    <row r="1" s="1" customFormat="1" ht="45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31" customHeight="1" spans="1:1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="1" customFormat="1" ht="22.5" customHeight="1" spans="1:13">
      <c r="A3" s="7" t="s">
        <v>2</v>
      </c>
      <c r="B3" s="7" t="s">
        <v>3</v>
      </c>
      <c r="C3" s="8"/>
      <c r="D3" s="8"/>
      <c r="E3" s="8"/>
      <c r="F3" s="8"/>
      <c r="G3" s="8"/>
      <c r="H3" s="8"/>
      <c r="I3" s="9"/>
      <c r="J3" s="10" t="s">
        <v>4</v>
      </c>
      <c r="K3" s="10"/>
      <c r="L3" s="10"/>
      <c r="M3" s="11" t="s">
        <v>5</v>
      </c>
    </row>
    <row r="4" s="1" customFormat="1" ht="33" customHeight="1" spans="1:13">
      <c r="A4" s="8"/>
      <c r="B4" s="10"/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3" t="s">
        <v>12</v>
      </c>
      <c r="J4" s="12" t="s">
        <v>13</v>
      </c>
      <c r="K4" s="12" t="s">
        <v>14</v>
      </c>
      <c r="L4" s="12" t="s">
        <v>15</v>
      </c>
      <c r="M4" s="14" t="s">
        <v>16</v>
      </c>
    </row>
    <row r="5" s="1" customFormat="1" ht="24.75" customHeight="1" spans="1:13">
      <c r="A5" s="15" t="s">
        <v>17</v>
      </c>
      <c r="B5" s="16" t="s">
        <v>18</v>
      </c>
      <c r="C5" s="17">
        <v>100</v>
      </c>
      <c r="D5" s="17">
        <v>1</v>
      </c>
      <c r="E5" s="18">
        <f>C5/D5</f>
        <v>100</v>
      </c>
      <c r="F5" s="19">
        <v>15</v>
      </c>
      <c r="G5" s="19">
        <v>16</v>
      </c>
      <c r="H5" s="12">
        <f>F5*E5</f>
        <v>1500</v>
      </c>
      <c r="I5" s="13">
        <f>G5*E5</f>
        <v>1600</v>
      </c>
      <c r="J5" s="19">
        <v>46</v>
      </c>
      <c r="K5" s="19">
        <v>26</v>
      </c>
      <c r="L5" s="19">
        <v>35</v>
      </c>
      <c r="M5" s="20">
        <f>J5*K5*L5/1000000*E5</f>
        <v>4.186</v>
      </c>
    </row>
    <row r="6" s="1" customFormat="1" ht="30" customHeight="1" spans="1:13">
      <c r="A6" s="21" t="s">
        <v>19</v>
      </c>
      <c r="B6" s="22" t="s">
        <v>20</v>
      </c>
      <c r="C6" s="17">
        <v>100</v>
      </c>
      <c r="D6" s="17">
        <v>1</v>
      </c>
      <c r="E6" s="18">
        <f>C6/D6</f>
        <v>100</v>
      </c>
      <c r="F6" s="23">
        <v>17</v>
      </c>
      <c r="G6" s="23">
        <v>18</v>
      </c>
      <c r="H6" s="12">
        <f>F6*E6</f>
        <v>1700</v>
      </c>
      <c r="I6" s="13">
        <f>G6*E6</f>
        <v>1800</v>
      </c>
      <c r="J6" s="23">
        <v>52.9</v>
      </c>
      <c r="K6" s="23">
        <v>39</v>
      </c>
      <c r="L6" s="23">
        <v>25.5</v>
      </c>
      <c r="M6" s="20">
        <f>J6*K6*L6/1000000*E6</f>
        <v>5.260905</v>
      </c>
    </row>
    <row r="7" s="1" customFormat="1" ht="30" customHeight="1" spans="1:13">
      <c r="A7" s="21" t="s">
        <v>21</v>
      </c>
      <c r="B7" s="22" t="s">
        <v>22</v>
      </c>
      <c r="C7" s="17">
        <v>50</v>
      </c>
      <c r="D7" s="17">
        <v>1</v>
      </c>
      <c r="E7" s="18">
        <f>C7/D7</f>
        <v>50</v>
      </c>
      <c r="F7" s="23">
        <v>24</v>
      </c>
      <c r="G7" s="23">
        <v>25</v>
      </c>
      <c r="H7" s="12">
        <f>F7*E7</f>
        <v>1200</v>
      </c>
      <c r="I7" s="13">
        <f>G7*E7</f>
        <v>1250</v>
      </c>
      <c r="J7" s="23">
        <v>57</v>
      </c>
      <c r="K7" s="23">
        <v>44.5</v>
      </c>
      <c r="L7" s="23">
        <v>30.5</v>
      </c>
      <c r="M7" s="20">
        <f>J7*K7*L7/1000000*E7</f>
        <v>3.8681625</v>
      </c>
    </row>
    <row r="8" s="1" customFormat="1" ht="30" customHeight="1" spans="1:13">
      <c r="A8" s="21" t="s">
        <v>23</v>
      </c>
      <c r="B8" s="22"/>
      <c r="C8" s="22"/>
      <c r="D8" s="22"/>
      <c r="E8" s="23">
        <f>SUM(E5:E7)</f>
        <v>250</v>
      </c>
      <c r="F8" s="23"/>
      <c r="G8" s="23"/>
      <c r="H8" s="24"/>
      <c r="I8" s="25">
        <f>SUM(I5:I7)</f>
        <v>4650</v>
      </c>
      <c r="J8" s="23"/>
      <c r="K8" s="23"/>
      <c r="L8" s="23"/>
      <c r="M8" s="20">
        <f>SUM(M5:M7)</f>
        <v>13.3150675</v>
      </c>
    </row>
    <row r="9" ht="20" customHeight="1" spans="1:13">
      <c r="A9" s="26" t="s">
        <v>24</v>
      </c>
      <c r="B9" s="26"/>
      <c r="C9" s="26"/>
      <c r="D9" s="26"/>
      <c r="E9" s="26"/>
      <c r="F9" s="26"/>
      <c r="G9" s="27"/>
    </row>
    <row r="10" ht="20" customHeight="1" spans="1:13">
      <c r="A10" s="26" t="s">
        <v>25</v>
      </c>
      <c r="B10" s="28"/>
      <c r="C10" s="28"/>
      <c r="D10" s="28"/>
      <c r="E10" s="28"/>
      <c r="F10" s="28"/>
      <c r="G10" s="29"/>
    </row>
    <row r="11" ht="20" customHeight="1" spans="1:13">
      <c r="A11" s="26" t="s">
        <v>26</v>
      </c>
      <c r="B11" s="26"/>
      <c r="C11" s="26"/>
      <c r="D11" s="26"/>
      <c r="E11" s="26"/>
      <c r="F11" s="26"/>
      <c r="G11" s="27"/>
    </row>
    <row r="12" ht="20" customHeight="1" spans="1:13">
      <c r="A12" s="26" t="s">
        <v>27</v>
      </c>
      <c r="B12" s="28"/>
      <c r="C12" s="28"/>
      <c r="D12" s="28"/>
      <c r="E12" s="28"/>
      <c r="F12" s="28"/>
      <c r="G12" s="29"/>
    </row>
    <row r="13" ht="20" customHeight="1" spans="1:13">
      <c r="A13" s="26" t="s">
        <v>28</v>
      </c>
      <c r="B13" s="26"/>
      <c r="C13" s="26"/>
      <c r="D13" s="26"/>
      <c r="E13" s="26"/>
      <c r="F13" s="26"/>
      <c r="G13" s="27"/>
    </row>
    <row r="14" ht="20" customHeight="1" spans="1:13">
      <c r="A14" s="26" t="s">
        <v>29</v>
      </c>
      <c r="B14" s="28"/>
      <c r="C14" s="28"/>
      <c r="D14" s="26"/>
      <c r="E14" s="26"/>
      <c r="F14" s="26"/>
      <c r="G14" s="27"/>
    </row>
    <row r="15" ht="20" customHeight="1" spans="1:13">
      <c r="A15" s="26" t="s">
        <v>0</v>
      </c>
      <c r="B15" s="28"/>
      <c r="C15" s="28"/>
      <c r="D15" s="26"/>
      <c r="E15" s="26"/>
      <c r="F15" s="26"/>
      <c r="G15" s="27"/>
    </row>
    <row r="16" ht="48" customHeight="1" spans="1:13">
      <c r="A16" s="30" t="s">
        <v>30</v>
      </c>
      <c r="B16" s="31" t="s">
        <v>30</v>
      </c>
      <c r="C16" s="32" t="s">
        <v>30</v>
      </c>
      <c r="D16" s="31" t="s">
        <v>30</v>
      </c>
      <c r="E16" s="31" t="s">
        <v>30</v>
      </c>
      <c r="F16" s="31" t="s">
        <v>30</v>
      </c>
      <c r="G16" s="33" t="s">
        <v>30</v>
      </c>
    </row>
    <row r="17" ht="20" customHeight="1" spans="1:7">
      <c r="A17" s="34" t="s">
        <v>31</v>
      </c>
      <c r="B17" s="32"/>
      <c r="C17" s="32" t="s">
        <v>30</v>
      </c>
      <c r="D17" s="34"/>
      <c r="E17" s="34"/>
      <c r="F17" s="34"/>
      <c r="G17" s="35"/>
    </row>
  </sheetData>
  <mergeCells count="16">
    <mergeCell ref="A1:M1"/>
    <mergeCell ref="A2:M2"/>
    <mergeCell ref="J3:L3"/>
    <mergeCell ref="A9:G9"/>
    <mergeCell ref="A10:G10"/>
    <mergeCell ref="A11:G11"/>
    <mergeCell ref="A12:G12"/>
    <mergeCell ref="A13:G13"/>
    <mergeCell ref="A14:C14"/>
    <mergeCell ref="D14:G14"/>
    <mergeCell ref="A15:C15"/>
    <mergeCell ref="D15:G15"/>
    <mergeCell ref="A17:B17"/>
    <mergeCell ref="D17:G17"/>
    <mergeCell ref="A3:A4"/>
    <mergeCell ref="B3:B4"/>
  </mergeCells>
  <pageMargins left="0.7" right="0.7" top="0.75" bottom="0.75" header="0.3" footer="0.3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装柜明细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青‘’栀</cp:lastModifiedBy>
  <dcterms:created xsi:type="dcterms:W3CDTF">2023-05-12T11:15:00Z</dcterms:created>
  <dcterms:modified xsi:type="dcterms:W3CDTF">2026-06-09T05:49:49Z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EB5BDC292335465EA1CA0D3156471526_12</vt:lpwstr>
  </property>
  <property fmtid="{D5CDD505-2E9C-101B-9397-08002B2CF9AE}" pid="4" name="CalculationRule">
    <vt:i4>0</vt:i4>
  </property>
</Properties>
</file>